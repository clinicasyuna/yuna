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\deploy\"/>
    </mc:Choice>
  </mc:AlternateContent>
  <xr:revisionPtr revIDLastSave="0" documentId="13_ncr:1_{5545EC4B-1E62-41C1-BF60-07BB5BB29AAE}" xr6:coauthVersionLast="47" xr6:coauthVersionMax="47" xr10:uidLastSave="{00000000-0000-0000-0000-000000000000}"/>
  <bookViews>
    <workbookView xWindow="-23148" yWindow="-108" windowWidth="23256" windowHeight="12456" xr2:uid="{05D80C7D-4A72-40AC-B8E4-A193E89CF5CE}"/>
  </bookViews>
  <sheets>
    <sheet name="TI_YU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F35" i="1"/>
  <c r="G35" i="1"/>
  <c r="H35" i="1"/>
  <c r="I35" i="1"/>
  <c r="J35" i="1"/>
  <c r="K35" i="1"/>
  <c r="L35" i="1"/>
  <c r="M35" i="1"/>
  <c r="N35" i="1"/>
  <c r="O35" i="1"/>
  <c r="D35" i="1"/>
  <c r="E23" i="1"/>
  <c r="F23" i="1"/>
  <c r="G23" i="1"/>
  <c r="H23" i="1"/>
  <c r="I23" i="1"/>
  <c r="J23" i="1"/>
  <c r="K23" i="1"/>
  <c r="L23" i="1"/>
  <c r="M23" i="1"/>
  <c r="N23" i="1"/>
  <c r="O23" i="1"/>
  <c r="D23" i="1"/>
  <c r="E37" i="1" l="1"/>
  <c r="O37" i="1"/>
  <c r="N37" i="1"/>
  <c r="G37" i="1"/>
  <c r="I37" i="1"/>
  <c r="M37" i="1"/>
  <c r="J37" i="1"/>
  <c r="H37" i="1"/>
  <c r="K37" i="1"/>
  <c r="L37" i="1"/>
  <c r="F37" i="1"/>
  <c r="D37" i="1"/>
  <c r="D40" i="1" s="1"/>
  <c r="D41" i="1" l="1"/>
  <c r="D42" i="1" s="1"/>
  <c r="E39" i="1"/>
  <c r="E40" i="1" s="1"/>
  <c r="F39" i="1" l="1"/>
  <c r="F40" i="1" s="1"/>
  <c r="E41" i="1"/>
  <c r="E42" i="1" s="1"/>
  <c r="F41" i="1" l="1"/>
  <c r="F42" i="1" s="1"/>
  <c r="G39" i="1"/>
  <c r="G40" i="1" s="1"/>
  <c r="G41" i="1" l="1"/>
  <c r="G42" i="1" s="1"/>
  <c r="H39" i="1"/>
  <c r="H40" i="1" s="1"/>
  <c r="I39" i="1" l="1"/>
  <c r="I40" i="1" s="1"/>
  <c r="H41" i="1"/>
  <c r="H42" i="1" s="1"/>
  <c r="I41" i="1" l="1"/>
  <c r="I42" i="1" s="1"/>
  <c r="J39" i="1"/>
  <c r="J40" i="1" s="1"/>
  <c r="J41" i="1" l="1"/>
  <c r="J42" i="1" s="1"/>
  <c r="K39" i="1"/>
  <c r="K40" i="1" s="1"/>
  <c r="K41" i="1" l="1"/>
  <c r="K42" i="1" s="1"/>
  <c r="L39" i="1"/>
  <c r="L40" i="1" s="1"/>
  <c r="M39" i="1" l="1"/>
  <c r="M40" i="1" s="1"/>
  <c r="L41" i="1"/>
  <c r="L42" i="1" s="1"/>
  <c r="N39" i="1" l="1"/>
  <c r="N40" i="1" s="1"/>
  <c r="M41" i="1"/>
  <c r="M42" i="1" s="1"/>
  <c r="N41" i="1" l="1"/>
  <c r="N42" i="1" s="1"/>
  <c r="O39" i="1"/>
  <c r="O40" i="1" s="1"/>
  <c r="O41" i="1" s="1"/>
  <c r="O42" i="1" s="1"/>
</calcChain>
</file>

<file path=xl/sharedStrings.xml><?xml version="1.0" encoding="utf-8"?>
<sst xmlns="http://schemas.openxmlformats.org/spreadsheetml/2006/main" count="72" uniqueCount="47">
  <si>
    <t>Classe Financeira : 1206039 - Manutenção de Hardware/Software - Informática</t>
  </si>
  <si>
    <t>12441 - EMERSON KIYOCHI MORI</t>
  </si>
  <si>
    <t>12467 - MARCO RIESCO PINTO</t>
  </si>
  <si>
    <t>12514 - X-TEND INFORMATICA LTDA</t>
  </si>
  <si>
    <t>16892 - SUPORTE 24X7 SERVICOS DE TECNOLOGIA EIRELI</t>
  </si>
  <si>
    <t>17780 - INGRAM MICRO BRASIL LTDA</t>
  </si>
  <si>
    <t>17966 - TUAPPS DIGITAL LTDA.</t>
  </si>
  <si>
    <t>18194 - ANDREI PUBLICACOES MEDICAS FARMACEUTICAS TECNICAS LTDA</t>
  </si>
  <si>
    <t>18457 - SIMPRO PUBLICACOES E TELEPROCESSAMENTO LTDA</t>
  </si>
  <si>
    <t>19347 - INGRAM MICRO BRASIL LTDA</t>
  </si>
  <si>
    <t>19378 - RD GESTAO E SISTEMAS S.A.</t>
  </si>
  <si>
    <t>22146 - SPINCARE SOFTWARE DE GESTAO LTDA</t>
  </si>
  <si>
    <t>22803 - 55.004.442 SAMUEL DOS REIS LACERDA JUNIOR</t>
  </si>
  <si>
    <t>229 - CONTRIBUICAO SOCIAL UNIFICADA (PIS, COFINS E CSLL)IAL UNIFICADA (PIS, COFINS E CSLL)</t>
  </si>
  <si>
    <t>23736 - TD SYNNEX BRASIL LTDA</t>
  </si>
  <si>
    <t>23964 - A.A TECNOLOGIA A.A TECNOLOGIA LTDA</t>
  </si>
  <si>
    <t>24407 - EXERCLIN SERVICOS LTDA</t>
  </si>
  <si>
    <t>25367 - SOLIDES TECNOLOGIA S/A</t>
  </si>
  <si>
    <t>Descrição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</si>
  <si>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</si>
  <si>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</si>
  <si>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</si>
  <si>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</si>
  <si>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</si>
  <si>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</si>
  <si>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</si>
  <si>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</si>
  <si>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</si>
  <si>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</si>
  <si>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</si>
  <si>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</si>
  <si>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Agente</t>
  </si>
  <si>
    <t>Realizado</t>
  </si>
  <si>
    <t>13079 - DELL COMPUTADORES DO BRASIL LTDA</t>
  </si>
  <si>
    <t>17620 - AGIS EQUIPAMENTOS E SERVICOS DE INFORMATICA LTDA.</t>
  </si>
  <si>
    <t>17795 - DELL COMPUTADORES DO BRASIL LTDA</t>
  </si>
  <si>
    <t>22932 - OIW INDUSTRIA ELETRONICA S.A</t>
  </si>
  <si>
    <t>22933 - OIW INDUSTRIA ELETRONICA S.A</t>
  </si>
  <si>
    <t>23156 - LENOVO TECNOLOGIA BRASIL LTDA</t>
  </si>
  <si>
    <t>23724 - STAR MIX INFORMATICA LTDA</t>
  </si>
  <si>
    <t>24111 - TS SHARA TECNOLOGIA DE SISTEMAS LTDA</t>
  </si>
  <si>
    <t xml:space="preserve">Total fluxo de caixa </t>
  </si>
  <si>
    <t>Sdo caixa inicial</t>
  </si>
  <si>
    <t>Sdo caixa final</t>
  </si>
  <si>
    <t>Variação</t>
  </si>
  <si>
    <t>check-line</t>
  </si>
  <si>
    <t>Classe Financeira : 2212010 -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</si>
</sst>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#,##0.00"/>
    <numFmt numFmtId="165" formatCode="#,##0.00_ ;\-#,##0.00\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3B3B3B"/>
      <name val="Calibri"/>
      <family val="2"/>
    </font>
    <font>
      <sz val="10"/>
      <color rgb="FFFF0000"/>
      <name val="Calibri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BEF2FA"/>
        <bgColor rgb="FFBEF2FA"/>
      </patternFill>
    </fill>
    <fill>
      <patternFill patternType="solid">
        <fgColor rgb="FF002060"/>
        <bgColor rgb="FFF0F0F0"/>
      </patternFill>
    </fill>
    <fill>
      <patternFill patternType="solid">
        <fgColor rgb="FF002060"/>
        <bgColor rgb="FFE1E1E1"/>
      </patternFill>
    </fill>
    <fill>
      <patternFill patternType="solid">
        <fgColor rgb="FFF0F0F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39" fontId="4" fillId="4" borderId="0" xfId="0" applyNumberFormat="1" applyFont="1" applyFill="1" applyAlignment="1">
      <alignment horizontal="right" vertical="top" wrapText="1"/>
    </xf>
    <xf numFmtId="0" fontId="3" fillId="3" borderId="0" xfId="0" applyFont="1" applyFill="1" applyAlignment="1">
      <alignment horizontal="left" vertical="top" wrapText="1"/>
    </xf>
    <xf numFmtId="39" fontId="3" fillId="4" borderId="0" xfId="0" applyNumberFormat="1" applyFont="1" applyFill="1" applyAlignment="1">
      <alignment horizontal="right" vertical="top" wrapText="1"/>
    </xf>
    <xf numFmtId="164" fontId="3" fillId="3" borderId="0" xfId="0" applyNumberFormat="1" applyFont="1" applyFill="1" applyAlignment="1">
      <alignment horizontal="right" vertical="top" wrapText="1"/>
    </xf>
    <xf numFmtId="0" fontId="6" fillId="5" borderId="0" xfId="0" applyFont="1" applyFill="1" applyAlignment="1">
      <alignment horizontal="center" vertical="top" wrapText="1"/>
    </xf>
    <xf numFmtId="0" fontId="8" fillId="0" borderId="0" xfId="0" applyFont="1"/>
    <xf numFmtId="165" fontId="8" fillId="0" borderId="0" xfId="0" applyNumberFormat="1" applyFont="1"/>
    <xf numFmtId="0" fontId="9" fillId="2" borderId="0" xfId="0" applyFont="1" applyFill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8" fillId="7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left" vertical="top" wrapText="1"/>
    </xf>
    <xf numFmtId="165" fontId="7" fillId="8" borderId="0" xfId="1" applyNumberFormat="1" applyFont="1" applyFill="1" applyBorder="1" applyAlignment="1" applyProtection="1">
      <alignment wrapText="1"/>
    </xf>
    <xf numFmtId="165" fontId="7" fillId="8" borderId="0" xfId="0" applyNumberFormat="1" applyFont="1" applyFill="1" applyAlignment="1">
      <alignment wrapText="1"/>
    </xf>
    <xf numFmtId="0" fontId="2" fillId="9" borderId="0" xfId="0" applyFont="1" applyFill="1"/>
    <xf numFmtId="165" fontId="2" fillId="9" borderId="0" xfId="0" applyNumberFormat="1" applyFont="1" applyFill="1"/>
    <xf numFmtId="0" fontId="5" fillId="6" borderId="0" xfId="0" applyFont="1" applyFill="1" applyAlignment="1">
      <alignment horizontal="left" vertical="top" wrapText="1"/>
    </xf>
  </cellXfs>
  <cellStyles count="2">
    <cellStyle name="Normal" xfId="0" builtinId="0"/>
    <cellStyle name="Vírgula 2" xfId="1" xr:uid="{0690F0B7-8912-499B-AAF4-B2397AC3F1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E73A-9354-4E63-B694-1B22C7811294}">
  <dimension ref="C4:O43"/>
  <sheetViews>
    <sheetView showGridLines="0" tabSelected="1" topLeftCell="A22" workbookViewId="0">
      <selection activeCell="D37" sqref="D37:O37"/>
    </sheetView>
  </sheetViews>
  <sheetFormatPr defaultRowHeight="16.5" customHeight="1" outlineLevelRow="1" x14ac:dyDescent="0.25"/>
  <cols>
    <col min="3" max="3" width="40" customWidth="1"/>
    <col min="4" max="4" width="14.42578125" customWidth="1"/>
    <col min="5" max="5" width="10.28515625" bestFit="1" customWidth="1"/>
    <col min="6" max="6" width="10.7109375" bestFit="1" customWidth="1"/>
    <col min="7" max="15" width="11.28515625" bestFit="1" customWidth="1"/>
  </cols>
  <sheetData>
    <row r="4" spans="3:15" ht="16.5" customHeight="1" x14ac:dyDescent="0.25"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</row>
    <row r="5" spans="3:15" ht="16.5" customHeight="1" x14ac:dyDescent="0.25">
      <c r="C5" s="5" t="s">
        <v>31</v>
      </c>
      <c r="D5" s="5" t="s">
        <v>32</v>
      </c>
      <c r="E5" s="5" t="s">
        <v>32</v>
      </c>
      <c r="F5" s="5" t="s">
        <v>32</v>
      </c>
      <c r="G5" s="5" t="s">
        <v>32</v>
      </c>
      <c r="H5" s="5" t="s">
        <v>32</v>
      </c>
      <c r="I5" s="5" t="s">
        <v>32</v>
      </c>
      <c r="J5" s="5" t="s">
        <v>32</v>
      </c>
      <c r="K5" s="5" t="s">
        <v>32</v>
      </c>
      <c r="L5" s="5" t="s">
        <v>32</v>
      </c>
      <c r="M5" s="5" t="s">
        <v>32</v>
      </c>
      <c r="N5" s="5" t="s">
        <v>32</v>
      </c>
      <c r="O5" s="5" t="s">
        <v>32</v>
      </c>
    </row>
    <row r="6" spans="3:15" s="2" customFormat="1" ht="16.5" customHeight="1" x14ac:dyDescent="0.25">
      <c r="C6" s="16" t="s">
        <v>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3:15" s="2" customFormat="1" ht="16.5" customHeight="1" outlineLevel="1" x14ac:dyDescent="0.25">
      <c r="C7" s="2" t="s">
        <v>1</v>
      </c>
      <c r="D7" s="3"/>
      <c r="E7" s="3"/>
      <c r="F7" s="3"/>
      <c r="G7" s="3"/>
      <c r="H7" s="1">
        <v>-350.17</v>
      </c>
      <c r="I7" s="1">
        <v>-393.48</v>
      </c>
      <c r="J7" s="1">
        <v>-33.72</v>
      </c>
      <c r="K7" s="1">
        <v>-179.47</v>
      </c>
      <c r="L7" s="1">
        <v>-117.11</v>
      </c>
      <c r="M7" s="1">
        <v>-110</v>
      </c>
      <c r="N7" s="1">
        <v>-110</v>
      </c>
      <c r="O7" s="1">
        <v>-110</v>
      </c>
    </row>
    <row r="8" spans="3:15" s="2" customFormat="1" ht="16.5" customHeight="1" outlineLevel="1" x14ac:dyDescent="0.25">
      <c r="C8" s="2" t="s">
        <v>2</v>
      </c>
      <c r="D8" s="1">
        <v>-250</v>
      </c>
      <c r="E8" s="3"/>
      <c r="F8" s="3"/>
      <c r="G8" s="3"/>
      <c r="H8" s="1">
        <v>-700</v>
      </c>
      <c r="I8" s="3"/>
      <c r="J8" s="3"/>
      <c r="K8" s="3"/>
      <c r="L8" s="3"/>
      <c r="M8" s="1">
        <v>-1100</v>
      </c>
      <c r="N8" s="3"/>
      <c r="O8" s="1">
        <v>-500</v>
      </c>
    </row>
    <row r="9" spans="3:15" s="2" customFormat="1" ht="16.5" customHeight="1" outlineLevel="1" x14ac:dyDescent="0.25">
      <c r="C9" s="2" t="s">
        <v>3</v>
      </c>
      <c r="D9" s="1">
        <v>-2277</v>
      </c>
      <c r="E9" s="1">
        <v>-2277</v>
      </c>
      <c r="F9" s="1">
        <v>-2300</v>
      </c>
      <c r="G9" s="1">
        <v>-2350</v>
      </c>
      <c r="H9" s="1">
        <v>-2891</v>
      </c>
      <c r="I9" s="1">
        <v>-2891</v>
      </c>
      <c r="J9" s="1">
        <v>-2950</v>
      </c>
      <c r="K9" s="1">
        <v>-2950</v>
      </c>
      <c r="L9" s="1">
        <v>-2950</v>
      </c>
      <c r="M9" s="1">
        <v>-2950</v>
      </c>
      <c r="N9" s="1">
        <v>-3127</v>
      </c>
      <c r="O9" s="1">
        <v>-3127</v>
      </c>
    </row>
    <row r="10" spans="3:15" s="2" customFormat="1" ht="16.5" customHeight="1" outlineLevel="1" x14ac:dyDescent="0.25">
      <c r="C10" s="2" t="s">
        <v>4</v>
      </c>
      <c r="D10" s="1">
        <v>-13420.07</v>
      </c>
      <c r="E10" s="1">
        <v>-25567.07</v>
      </c>
      <c r="F10" s="1">
        <v>-13976.07</v>
      </c>
      <c r="G10" s="1">
        <v>-15449.31</v>
      </c>
      <c r="H10" s="1">
        <v>-15611.41</v>
      </c>
      <c r="I10" s="1">
        <v>-14424.32</v>
      </c>
      <c r="J10" s="1">
        <v>-22744.75</v>
      </c>
      <c r="K10" s="1">
        <v>-13627.13</v>
      </c>
      <c r="L10" s="1">
        <v>-18028.38</v>
      </c>
      <c r="M10" s="1">
        <v>-22737.57</v>
      </c>
      <c r="N10" s="1">
        <v>-8569.18</v>
      </c>
      <c r="O10" s="1">
        <v>-22739</v>
      </c>
    </row>
    <row r="11" spans="3:15" s="2" customFormat="1" ht="16.5" customHeight="1" outlineLevel="1" x14ac:dyDescent="0.25">
      <c r="C11" s="2" t="s">
        <v>5</v>
      </c>
      <c r="D11" s="3"/>
      <c r="E11" s="3"/>
      <c r="F11" s="1">
        <v>-3394.1</v>
      </c>
      <c r="G11" s="3"/>
      <c r="H11" s="3"/>
      <c r="I11" s="3"/>
      <c r="J11" s="3"/>
      <c r="K11" s="3"/>
      <c r="L11" s="3"/>
      <c r="M11" s="3"/>
      <c r="N11" s="3"/>
      <c r="O11" s="3"/>
    </row>
    <row r="12" spans="3:15" s="2" customFormat="1" ht="16.5" customHeight="1" outlineLevel="1" x14ac:dyDescent="0.25">
      <c r="C12" s="2" t="s">
        <v>6</v>
      </c>
      <c r="D12" s="1">
        <v>-454.37</v>
      </c>
      <c r="E12" s="1">
        <v>-454.37</v>
      </c>
      <c r="F12" s="1">
        <v>-454.37</v>
      </c>
      <c r="G12" s="1">
        <v>-454.37</v>
      </c>
      <c r="H12" s="1">
        <v>-479.25</v>
      </c>
      <c r="I12" s="1">
        <v>-479.25</v>
      </c>
      <c r="J12" s="1">
        <v>-479.25</v>
      </c>
      <c r="K12" s="1">
        <v>-479.25</v>
      </c>
      <c r="L12" s="1">
        <v>-479.25</v>
      </c>
      <c r="M12" s="1">
        <v>-479.25</v>
      </c>
      <c r="N12" s="1">
        <v>-552.32000000000005</v>
      </c>
      <c r="O12" s="1">
        <v>-516.57000000000005</v>
      </c>
    </row>
    <row r="13" spans="3:15" s="2" customFormat="1" ht="16.5" customHeight="1" outlineLevel="1" x14ac:dyDescent="0.25">
      <c r="C13" s="2" t="s">
        <v>7</v>
      </c>
      <c r="D13" s="3"/>
      <c r="E13" s="3"/>
      <c r="F13" s="1">
        <v>-1925</v>
      </c>
      <c r="G13" s="3"/>
      <c r="H13" s="3"/>
      <c r="I13" s="3"/>
      <c r="J13" s="3"/>
      <c r="K13" s="3"/>
      <c r="L13" s="3"/>
      <c r="M13" s="3"/>
      <c r="N13" s="3"/>
      <c r="O13" s="3"/>
    </row>
    <row r="14" spans="3:15" s="2" customFormat="1" ht="16.5" customHeight="1" outlineLevel="1" x14ac:dyDescent="0.25">
      <c r="C14" s="2" t="s">
        <v>8</v>
      </c>
      <c r="D14" s="1">
        <v>-412.01</v>
      </c>
      <c r="E14" s="1">
        <v>-412.01</v>
      </c>
      <c r="F14" s="1">
        <v>-412.01</v>
      </c>
      <c r="G14" s="1">
        <v>-412.01</v>
      </c>
      <c r="H14" s="1">
        <v>-412.01</v>
      </c>
      <c r="I14" s="1">
        <v>-434.8</v>
      </c>
      <c r="J14" s="1">
        <v>-434.8</v>
      </c>
      <c r="K14" s="1">
        <v>-434.8</v>
      </c>
      <c r="L14" s="1">
        <v>-434.8</v>
      </c>
      <c r="M14" s="1">
        <v>-434.8</v>
      </c>
      <c r="N14" s="1">
        <v>-434.8</v>
      </c>
      <c r="O14" s="1">
        <v>-434.8</v>
      </c>
    </row>
    <row r="15" spans="3:15" s="2" customFormat="1" ht="16.5" customHeight="1" outlineLevel="1" x14ac:dyDescent="0.25">
      <c r="C15" s="2" t="s">
        <v>9</v>
      </c>
      <c r="D15" s="1">
        <v>-119.35</v>
      </c>
      <c r="E15" s="1">
        <v>-175</v>
      </c>
      <c r="F15" s="1">
        <v>-170.65</v>
      </c>
      <c r="G15" s="1">
        <v>-154.88</v>
      </c>
      <c r="H15" s="1">
        <v>-167.02</v>
      </c>
      <c r="I15" s="1">
        <v>-158.13999999999999</v>
      </c>
      <c r="J15" s="1">
        <v>-158.32</v>
      </c>
      <c r="K15" s="1">
        <v>-156.63999999999999</v>
      </c>
      <c r="L15" s="3"/>
      <c r="M15" s="1">
        <v>-497.45</v>
      </c>
      <c r="N15" s="1">
        <v>-372.34</v>
      </c>
      <c r="O15" s="1">
        <v>-373.24</v>
      </c>
    </row>
    <row r="16" spans="3:15" s="2" customFormat="1" ht="16.5" customHeight="1" outlineLevel="1" x14ac:dyDescent="0.25">
      <c r="C16" s="2" t="s">
        <v>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">
        <v>-427</v>
      </c>
    </row>
    <row r="17" spans="3:15" s="2" customFormat="1" ht="16.5" customHeight="1" outlineLevel="1" x14ac:dyDescent="0.25">
      <c r="C17" s="2" t="s">
        <v>11</v>
      </c>
      <c r="D17" s="1">
        <v>-5000</v>
      </c>
      <c r="E17" s="1">
        <v>-10000</v>
      </c>
      <c r="F17" s="3"/>
      <c r="G17" s="1">
        <v>-4692.5</v>
      </c>
      <c r="H17" s="1">
        <v>-7038.75</v>
      </c>
      <c r="I17" s="1">
        <v>-7500</v>
      </c>
      <c r="J17" s="1">
        <v>-7500</v>
      </c>
      <c r="K17" s="1">
        <v>-10000</v>
      </c>
      <c r="L17" s="1">
        <v>-10000</v>
      </c>
      <c r="M17" s="1">
        <v>-10000</v>
      </c>
      <c r="N17" s="1">
        <v>-10000</v>
      </c>
      <c r="O17" s="1">
        <v>-10650</v>
      </c>
    </row>
    <row r="18" spans="3:15" s="2" customFormat="1" ht="16.5" customHeight="1" outlineLevel="1" x14ac:dyDescent="0.25">
      <c r="C18" s="2" t="s">
        <v>13</v>
      </c>
      <c r="D18" s="1">
        <v>-20.09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3:15" s="2" customFormat="1" ht="16.5" customHeight="1" outlineLevel="1" x14ac:dyDescent="0.25">
      <c r="C19" s="2" t="s">
        <v>14</v>
      </c>
      <c r="D19" s="3"/>
      <c r="E19" s="1">
        <v>-41.5</v>
      </c>
      <c r="F19" s="1">
        <v>-104.42</v>
      </c>
      <c r="G19" s="1">
        <v>-83</v>
      </c>
      <c r="H19" s="1">
        <v>-83</v>
      </c>
      <c r="I19" s="1">
        <v>-144.57</v>
      </c>
      <c r="J19" s="1">
        <v>-124.5</v>
      </c>
      <c r="K19" s="1">
        <v>-124.5</v>
      </c>
      <c r="L19" s="1">
        <v>-124.5</v>
      </c>
      <c r="M19" s="1">
        <v>-184.76</v>
      </c>
      <c r="N19" s="1">
        <v>-235.2</v>
      </c>
      <c r="O19" s="1">
        <v>-249</v>
      </c>
    </row>
    <row r="20" spans="3:15" s="2" customFormat="1" ht="16.5" customHeight="1" outlineLevel="1" x14ac:dyDescent="0.25">
      <c r="C20" s="2" t="s">
        <v>15</v>
      </c>
      <c r="D20" s="3"/>
      <c r="E20" s="3"/>
      <c r="F20" s="3"/>
      <c r="G20" s="1">
        <v>-163.34</v>
      </c>
      <c r="H20" s="1">
        <v>-163.33000000000001</v>
      </c>
      <c r="I20" s="1">
        <v>-163.33000000000001</v>
      </c>
      <c r="J20" s="3"/>
      <c r="K20" s="3"/>
      <c r="L20" s="3"/>
      <c r="M20" s="3"/>
      <c r="N20" s="3"/>
      <c r="O20" s="3"/>
    </row>
    <row r="21" spans="3:15" s="2" customFormat="1" ht="16.5" customHeight="1" outlineLevel="1" x14ac:dyDescent="0.25">
      <c r="C21" s="2" t="s">
        <v>16</v>
      </c>
      <c r="D21" s="3"/>
      <c r="E21" s="3"/>
      <c r="F21" s="3"/>
      <c r="G21" s="3"/>
      <c r="H21" s="1">
        <v>-270</v>
      </c>
      <c r="I21" s="1">
        <v>-270</v>
      </c>
      <c r="J21" s="1">
        <v>-270</v>
      </c>
      <c r="K21" s="1">
        <v>-270</v>
      </c>
      <c r="L21" s="1">
        <v>-270</v>
      </c>
      <c r="M21" s="1">
        <v>-270</v>
      </c>
      <c r="N21" s="1">
        <v>-270</v>
      </c>
      <c r="O21" s="1">
        <v>-270</v>
      </c>
    </row>
    <row r="22" spans="3:15" s="2" customFormat="1" ht="16.5" customHeight="1" outlineLevel="1" x14ac:dyDescent="0.25">
      <c r="C22" s="2" t="s">
        <v>17</v>
      </c>
      <c r="D22" s="3"/>
      <c r="E22" s="3"/>
      <c r="F22" s="3"/>
      <c r="G22" s="3"/>
      <c r="H22" s="3"/>
      <c r="I22" s="3"/>
      <c r="J22" s="3"/>
      <c r="K22" s="3"/>
      <c r="L22" s="1">
        <v>-500</v>
      </c>
      <c r="M22" s="1">
        <v>-851.7</v>
      </c>
      <c r="N22" s="1">
        <v>-1212.54</v>
      </c>
      <c r="O22" s="1">
        <v>-1212.54</v>
      </c>
    </row>
    <row r="23" spans="3:15" s="2" customFormat="1" ht="16.5" customHeight="1" x14ac:dyDescent="0.25">
      <c r="D23" s="4">
        <f>SUM(D7:D22)</f>
        <v>-21952.889999999996</v>
      </c>
      <c r="E23" s="4">
        <f t="shared" ref="E23:O23" si="0">SUM(E7:E22)</f>
        <v>-38926.949999999997</v>
      </c>
      <c r="F23" s="4">
        <f t="shared" si="0"/>
        <v>-22736.619999999995</v>
      </c>
      <c r="G23" s="4">
        <f t="shared" si="0"/>
        <v>-23759.409999999996</v>
      </c>
      <c r="H23" s="4">
        <f t="shared" si="0"/>
        <v>-28165.940000000002</v>
      </c>
      <c r="I23" s="4">
        <f t="shared" si="0"/>
        <v>-26858.89</v>
      </c>
      <c r="J23" s="4">
        <f t="shared" si="0"/>
        <v>-34695.339999999997</v>
      </c>
      <c r="K23" s="4">
        <f t="shared" si="0"/>
        <v>-28221.789999999997</v>
      </c>
      <c r="L23" s="4">
        <f t="shared" si="0"/>
        <v>-32904.04</v>
      </c>
      <c r="M23" s="4">
        <f t="shared" si="0"/>
        <v>-39615.53</v>
      </c>
      <c r="N23" s="4">
        <f t="shared" si="0"/>
        <v>-24883.38</v>
      </c>
      <c r="O23" s="4">
        <f t="shared" si="0"/>
        <v>-40609.15</v>
      </c>
    </row>
    <row r="24" spans="3:15" s="2" customFormat="1" ht="16.5" customHeight="1" x14ac:dyDescent="0.25">
      <c r="C24" s="16" t="s">
        <v>46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3:15" s="2" customFormat="1" ht="16.5" customHeight="1" outlineLevel="1" x14ac:dyDescent="0.25">
      <c r="C25" s="2" t="s">
        <v>1</v>
      </c>
      <c r="D25" s="1">
        <v>-1097.44</v>
      </c>
      <c r="E25" s="1">
        <v>-474.29</v>
      </c>
      <c r="F25" s="1">
        <v>-474.29</v>
      </c>
      <c r="G25" s="1">
        <v>-474.29</v>
      </c>
      <c r="H25" s="1">
        <v>-5941.48</v>
      </c>
      <c r="I25" s="1">
        <v>-1799.01</v>
      </c>
      <c r="J25" s="1">
        <v>-144.86000000000001</v>
      </c>
      <c r="K25" s="1">
        <v>-2133.2199999999998</v>
      </c>
      <c r="L25" s="1">
        <v>-30.56</v>
      </c>
      <c r="M25" s="3"/>
      <c r="N25" s="3"/>
      <c r="O25" s="3"/>
    </row>
    <row r="26" spans="3:15" s="2" customFormat="1" ht="16.5" customHeight="1" outlineLevel="1" x14ac:dyDescent="0.25">
      <c r="C26" s="2" t="s">
        <v>33</v>
      </c>
      <c r="D26" s="1">
        <v>-7689.64</v>
      </c>
      <c r="E26" s="1">
        <v>-7689.64</v>
      </c>
      <c r="F26" s="1">
        <v>-9821.25</v>
      </c>
      <c r="G26" s="1">
        <v>-10160.75</v>
      </c>
      <c r="H26" s="1">
        <v>-10048.25</v>
      </c>
      <c r="I26" s="1">
        <v>-9507.2900000000009</v>
      </c>
      <c r="J26" s="1">
        <v>-8273.9599999999991</v>
      </c>
      <c r="K26" s="1">
        <v>-9814.59</v>
      </c>
      <c r="L26" s="1">
        <v>-4919.95</v>
      </c>
      <c r="M26" s="1">
        <v>-4877.29</v>
      </c>
      <c r="N26" s="1">
        <v>-4252.8599999999997</v>
      </c>
      <c r="O26" s="1">
        <v>-4252.88</v>
      </c>
    </row>
    <row r="27" spans="3:15" s="2" customFormat="1" ht="16.5" customHeight="1" outlineLevel="1" x14ac:dyDescent="0.25">
      <c r="C27" s="2" t="s">
        <v>34</v>
      </c>
      <c r="D27" s="3"/>
      <c r="E27" s="3"/>
      <c r="F27" s="3"/>
      <c r="G27" s="1">
        <v>-77511.42</v>
      </c>
      <c r="H27" s="1">
        <v>-38767.35</v>
      </c>
      <c r="I27" s="3"/>
      <c r="J27" s="3"/>
      <c r="K27" s="3"/>
      <c r="L27" s="3"/>
      <c r="M27" s="3"/>
      <c r="N27" s="3"/>
      <c r="O27" s="3"/>
    </row>
    <row r="28" spans="3:15" s="2" customFormat="1" ht="16.5" customHeight="1" outlineLevel="1" x14ac:dyDescent="0.25">
      <c r="C28" s="2" t="s">
        <v>35</v>
      </c>
      <c r="D28" s="1">
        <v>-141.52000000000001</v>
      </c>
      <c r="E28" s="1">
        <v>-141.52000000000001</v>
      </c>
      <c r="F28" s="1">
        <v>-192.41</v>
      </c>
      <c r="G28" s="1">
        <v>-192.41</v>
      </c>
      <c r="H28" s="1">
        <v>-192.41</v>
      </c>
      <c r="I28" s="1">
        <v>-206.59</v>
      </c>
      <c r="J28" s="1">
        <v>-206.54</v>
      </c>
      <c r="K28" s="1">
        <v>-219.21</v>
      </c>
      <c r="L28" s="1">
        <v>-124.06</v>
      </c>
      <c r="M28" s="1">
        <v>-95.75</v>
      </c>
      <c r="N28" s="1">
        <v>-50.89</v>
      </c>
      <c r="O28" s="1">
        <v>-50.88</v>
      </c>
    </row>
    <row r="29" spans="3:15" s="2" customFormat="1" ht="16.5" customHeight="1" outlineLevel="1" x14ac:dyDescent="0.25">
      <c r="C29" s="2" t="s">
        <v>12</v>
      </c>
      <c r="D29" s="3"/>
      <c r="E29" s="3"/>
      <c r="F29" s="3"/>
      <c r="G29" s="1">
        <v>-3500</v>
      </c>
      <c r="H29" s="3"/>
      <c r="I29" s="3"/>
      <c r="J29" s="3"/>
      <c r="K29" s="3"/>
      <c r="L29" s="3"/>
      <c r="M29" s="3"/>
      <c r="N29" s="3"/>
      <c r="O29" s="3"/>
    </row>
    <row r="30" spans="3:15" s="2" customFormat="1" ht="16.5" customHeight="1" outlineLevel="1" x14ac:dyDescent="0.25">
      <c r="C30" s="2" t="s">
        <v>36</v>
      </c>
      <c r="D30" s="1">
        <v>-3134.38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3:15" s="2" customFormat="1" ht="16.5" customHeight="1" outlineLevel="1" x14ac:dyDescent="0.25">
      <c r="C31" s="2" t="s">
        <v>37</v>
      </c>
      <c r="D31" s="1">
        <v>-1431.92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3:15" s="2" customFormat="1" ht="16.5" customHeight="1" outlineLevel="1" x14ac:dyDescent="0.25">
      <c r="C32" s="2" t="s">
        <v>38</v>
      </c>
      <c r="D32" s="3"/>
      <c r="E32" s="3"/>
      <c r="F32" s="3"/>
      <c r="G32" s="3"/>
      <c r="H32" s="1">
        <v>-1360.5</v>
      </c>
      <c r="I32" s="1">
        <v>-1360.5</v>
      </c>
      <c r="J32" s="1">
        <v>-1360.5</v>
      </c>
      <c r="K32" s="3"/>
      <c r="L32" s="1">
        <v>-2485.08</v>
      </c>
      <c r="M32" s="3"/>
      <c r="N32" s="1">
        <v>-1242.54</v>
      </c>
      <c r="O32" s="3"/>
    </row>
    <row r="33" spans="3:15" s="2" customFormat="1" ht="16.5" customHeight="1" outlineLevel="1" x14ac:dyDescent="0.25">
      <c r="C33" s="2" t="s">
        <v>39</v>
      </c>
      <c r="D33" s="1">
        <v>-2799.98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3:15" s="2" customFormat="1" ht="16.5" customHeight="1" outlineLevel="1" x14ac:dyDescent="0.25">
      <c r="C34" s="2" t="s">
        <v>40</v>
      </c>
      <c r="D34" s="3"/>
      <c r="E34" s="3"/>
      <c r="F34" s="1">
        <v>-2932</v>
      </c>
      <c r="G34" s="1">
        <v>-976.94</v>
      </c>
      <c r="H34" s="1">
        <v>-1955.06</v>
      </c>
      <c r="I34" s="3"/>
      <c r="J34" s="3"/>
      <c r="K34" s="3"/>
      <c r="L34" s="3"/>
      <c r="M34" s="3"/>
      <c r="N34" s="3"/>
      <c r="O34" s="3"/>
    </row>
    <row r="35" spans="3:15" s="2" customFormat="1" ht="16.5" customHeight="1" x14ac:dyDescent="0.25">
      <c r="D35" s="4">
        <f>SUM(D25:D34)</f>
        <v>-16294.88</v>
      </c>
      <c r="E35" s="4">
        <f t="shared" ref="E35:O35" si="1">SUM(E25:E34)</f>
        <v>-8305.4500000000007</v>
      </c>
      <c r="F35" s="4">
        <f t="shared" si="1"/>
        <v>-13419.95</v>
      </c>
      <c r="G35" s="4">
        <f t="shared" si="1"/>
        <v>-92815.81</v>
      </c>
      <c r="H35" s="4">
        <f t="shared" si="1"/>
        <v>-58265.05</v>
      </c>
      <c r="I35" s="4">
        <f t="shared" si="1"/>
        <v>-12873.390000000001</v>
      </c>
      <c r="J35" s="4">
        <f t="shared" si="1"/>
        <v>-9985.86</v>
      </c>
      <c r="K35" s="4">
        <f t="shared" si="1"/>
        <v>-12167.019999999999</v>
      </c>
      <c r="L35" s="4">
        <f t="shared" si="1"/>
        <v>-7559.6500000000005</v>
      </c>
      <c r="M35" s="4">
        <f t="shared" si="1"/>
        <v>-4973.04</v>
      </c>
      <c r="N35" s="4">
        <f t="shared" si="1"/>
        <v>-5546.29</v>
      </c>
      <c r="O35" s="4">
        <f t="shared" si="1"/>
        <v>-4303.76</v>
      </c>
    </row>
    <row r="36" spans="3:15" s="2" customFormat="1" ht="16.5" customHeight="1" x14ac:dyDescent="0.25"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3:15" ht="16.5" customHeight="1" x14ac:dyDescent="0.25">
      <c r="C37" s="11" t="s">
        <v>41</v>
      </c>
      <c r="D37" s="12">
        <f t="shared" ref="D37:O37" si="2">D35+D23</f>
        <v>-38247.769999999997</v>
      </c>
      <c r="E37" s="12">
        <f t="shared" si="2"/>
        <v>-47232.399999999994</v>
      </c>
      <c r="F37" s="12">
        <f t="shared" si="2"/>
        <v>-36156.569999999992</v>
      </c>
      <c r="G37" s="12">
        <f t="shared" si="2"/>
        <v>-116575.22</v>
      </c>
      <c r="H37" s="12">
        <f t="shared" si="2"/>
        <v>-86430.99</v>
      </c>
      <c r="I37" s="12">
        <f t="shared" si="2"/>
        <v>-39732.28</v>
      </c>
      <c r="J37" s="12">
        <f t="shared" si="2"/>
        <v>-44681.2</v>
      </c>
      <c r="K37" s="12">
        <f t="shared" si="2"/>
        <v>-40388.81</v>
      </c>
      <c r="L37" s="12">
        <f t="shared" si="2"/>
        <v>-40463.69</v>
      </c>
      <c r="M37" s="12">
        <f t="shared" si="2"/>
        <v>-44588.57</v>
      </c>
      <c r="N37" s="12">
        <f t="shared" si="2"/>
        <v>-30429.670000000002</v>
      </c>
      <c r="O37" s="12">
        <f t="shared" si="2"/>
        <v>-44912.91</v>
      </c>
    </row>
    <row r="38" spans="3:15" ht="16.5" customHeight="1" x14ac:dyDescent="0.25">
      <c r="C38" s="11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3:15" ht="16.5" customHeight="1" x14ac:dyDescent="0.25">
      <c r="C39" s="11" t="s">
        <v>42</v>
      </c>
      <c r="D39" s="13">
        <v>0</v>
      </c>
      <c r="E39" s="15">
        <f>D40</f>
        <v>-38247.769999999997</v>
      </c>
      <c r="F39" s="15">
        <f t="shared" ref="F39:O39" si="3">E40</f>
        <v>-85480.169999999984</v>
      </c>
      <c r="G39" s="15">
        <f t="shared" si="3"/>
        <v>-121636.73999999998</v>
      </c>
      <c r="H39" s="15">
        <f t="shared" si="3"/>
        <v>-238211.95999999996</v>
      </c>
      <c r="I39" s="15">
        <f t="shared" si="3"/>
        <v>-324642.94999999995</v>
      </c>
      <c r="J39" s="15">
        <f t="shared" si="3"/>
        <v>-364375.23</v>
      </c>
      <c r="K39" s="15">
        <f t="shared" si="3"/>
        <v>-409056.43</v>
      </c>
      <c r="L39" s="15">
        <f t="shared" si="3"/>
        <v>-449445.24</v>
      </c>
      <c r="M39" s="15">
        <f t="shared" si="3"/>
        <v>-489908.93</v>
      </c>
      <c r="N39" s="15">
        <f t="shared" si="3"/>
        <v>-534497.5</v>
      </c>
      <c r="O39" s="15">
        <f t="shared" si="3"/>
        <v>-564927.17000000004</v>
      </c>
    </row>
    <row r="40" spans="3:15" ht="16.5" customHeight="1" x14ac:dyDescent="0.25">
      <c r="C40" s="11" t="s">
        <v>43</v>
      </c>
      <c r="D40" s="13">
        <f>D39+D37</f>
        <v>-38247.769999999997</v>
      </c>
      <c r="E40" s="13">
        <f>E39+E37</f>
        <v>-85480.169999999984</v>
      </c>
      <c r="F40" s="13">
        <f t="shared" ref="F40:O40" si="4">F39+F37</f>
        <v>-121636.73999999998</v>
      </c>
      <c r="G40" s="13">
        <f t="shared" si="4"/>
        <v>-238211.95999999996</v>
      </c>
      <c r="H40" s="13">
        <f t="shared" si="4"/>
        <v>-324642.94999999995</v>
      </c>
      <c r="I40" s="13">
        <f t="shared" si="4"/>
        <v>-364375.23</v>
      </c>
      <c r="J40" s="13">
        <f t="shared" si="4"/>
        <v>-409056.43</v>
      </c>
      <c r="K40" s="13">
        <f t="shared" si="4"/>
        <v>-449445.24</v>
      </c>
      <c r="L40" s="13">
        <f t="shared" si="4"/>
        <v>-489908.93</v>
      </c>
      <c r="M40" s="13">
        <f t="shared" si="4"/>
        <v>-534497.5</v>
      </c>
      <c r="N40" s="13">
        <f t="shared" si="4"/>
        <v>-564927.17000000004</v>
      </c>
      <c r="O40" s="13">
        <f t="shared" si="4"/>
        <v>-609840.08000000007</v>
      </c>
    </row>
    <row r="41" spans="3:15" ht="16.5" customHeight="1" x14ac:dyDescent="0.25">
      <c r="C41" s="11" t="s">
        <v>44</v>
      </c>
      <c r="D41" s="13">
        <f>D40-D39</f>
        <v>-38247.769999999997</v>
      </c>
      <c r="E41" s="13">
        <f>E40-E39</f>
        <v>-47232.399999999987</v>
      </c>
      <c r="F41" s="13">
        <f t="shared" ref="F41:O41" si="5">F40-F39</f>
        <v>-36156.569999999992</v>
      </c>
      <c r="G41" s="13">
        <f t="shared" si="5"/>
        <v>-116575.21999999999</v>
      </c>
      <c r="H41" s="13">
        <f t="shared" si="5"/>
        <v>-86430.989999999991</v>
      </c>
      <c r="I41" s="13">
        <f t="shared" si="5"/>
        <v>-39732.280000000028</v>
      </c>
      <c r="J41" s="13">
        <f t="shared" si="5"/>
        <v>-44681.200000000012</v>
      </c>
      <c r="K41" s="13">
        <f t="shared" si="5"/>
        <v>-40388.81</v>
      </c>
      <c r="L41" s="13">
        <f t="shared" si="5"/>
        <v>-40463.69</v>
      </c>
      <c r="M41" s="13">
        <f t="shared" si="5"/>
        <v>-44588.570000000007</v>
      </c>
      <c r="N41" s="13">
        <f t="shared" si="5"/>
        <v>-30429.670000000042</v>
      </c>
      <c r="O41" s="13">
        <f t="shared" si="5"/>
        <v>-44912.910000000033</v>
      </c>
    </row>
    <row r="42" spans="3:15" ht="16.5" customHeight="1" x14ac:dyDescent="0.25">
      <c r="C42" s="6" t="s">
        <v>45</v>
      </c>
      <c r="D42" s="7">
        <f>D41-D37</f>
        <v>0</v>
      </c>
      <c r="E42" s="7">
        <f>E41-E37</f>
        <v>0</v>
      </c>
      <c r="F42" s="7">
        <f t="shared" ref="F42:O42" si="6">F41-F37</f>
        <v>0</v>
      </c>
      <c r="G42" s="7">
        <f t="shared" si="6"/>
        <v>0</v>
      </c>
      <c r="H42" s="7">
        <f t="shared" si="6"/>
        <v>0</v>
      </c>
      <c r="I42" s="7">
        <f t="shared" si="6"/>
        <v>0</v>
      </c>
      <c r="J42" s="7">
        <f t="shared" si="6"/>
        <v>0</v>
      </c>
      <c r="K42" s="7">
        <f t="shared" si="6"/>
        <v>0</v>
      </c>
      <c r="L42" s="7">
        <f t="shared" si="6"/>
        <v>0</v>
      </c>
      <c r="M42" s="7">
        <f t="shared" si="6"/>
        <v>0</v>
      </c>
      <c r="N42" s="7">
        <f t="shared" si="6"/>
        <v>-4.0017766878008842E-11</v>
      </c>
      <c r="O42" s="7">
        <f t="shared" si="6"/>
        <v>0</v>
      </c>
    </row>
    <row r="43" spans="3:15" ht="16.5" customHeight="1" x14ac:dyDescent="0.25">
      <c r="C43" s="10" t="s">
        <v>18</v>
      </c>
      <c r="D43" s="8" t="s">
        <v>19</v>
      </c>
      <c r="E43" s="8" t="s">
        <v>20</v>
      </c>
      <c r="F43" s="8" t="s">
        <v>21</v>
      </c>
      <c r="G43" s="8" t="s">
        <v>22</v>
      </c>
      <c r="H43" s="8" t="s">
        <v>23</v>
      </c>
      <c r="I43" s="8" t="s">
        <v>24</v>
      </c>
      <c r="J43" s="8" t="s">
        <v>25</v>
      </c>
      <c r="K43" s="8" t="s">
        <v>26</v>
      </c>
      <c r="L43" s="8" t="s">
        <v>27</v>
      </c>
      <c r="M43" s="8" t="s">
        <v>28</v>
      </c>
      <c r="N43" s="8" t="s">
        <v>29</v>
      </c>
      <c r="O43" s="9" t="s">
        <v>30</v>
      </c>
    </row>
  </sheetData>
  <mergeCells count="2">
    <mergeCell ref="C6:O6"/>
    <mergeCell ref="C24:O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TI_YUNA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Rossi</dc:creator>
  <cp:lastModifiedBy>Samuel Lacerda</cp:lastModifiedBy>
  <dcterms:created xsi:type="dcterms:W3CDTF">2026-01-16T14:49:54Z</dcterms:created>
  <dcterms:modified xsi:type="dcterms:W3CDTF">2026-01-16T15:58:29Z</dcterms:modified>
</cp:coreProperties>
</file>